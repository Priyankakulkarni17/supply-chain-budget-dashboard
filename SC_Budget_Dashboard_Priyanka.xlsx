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 vs Actual" sheetId="1" state="visible" r:id="rId3"/>
    <sheet name="Monthly Spend Tracker" sheetId="2" state="visible" r:id="rId4"/>
    <sheet name="KPI Dashboard" sheetId="3" state="visible" r:id="rId5"/>
    <sheet name="Vendor Spend Analysis" sheetId="4" state="visible" r:id="rId6"/>
    <sheet name="Variance Analysis" sheetId="5" state="visible" r:id="rId7"/>
    <sheet name="READM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<sst xmlns="http://schemas.openxmlformats.org/spreadsheetml/2006/main" count="327" uniqueCount="259">
  <si>
    <t xml:space="preserve">SUPPLY CHAIN BUDGET vs ACTUAL — FY 2025</t>
  </si>
  <si>
    <t xml:space="preserve">NJDC Operations | Finance &amp; Analytics Dashboard</t>
  </si>
  <si>
    <t xml:space="preserve">Cost Category</t>
  </si>
  <si>
    <t xml:space="preserve">Cost Center</t>
  </si>
  <si>
    <t xml:space="preserve">Annual Budget ($)</t>
  </si>
  <si>
    <t xml:space="preserve">Q1 Budget ($)</t>
  </si>
  <si>
    <t xml:space="preserve">Q1 Actual ($)</t>
  </si>
  <si>
    <t xml:space="preserve">Q1 Variance ($)</t>
  </si>
  <si>
    <t xml:space="preserve">Q1 Var %</t>
  </si>
  <si>
    <t xml:space="preserve">Q2 Budget ($)</t>
  </si>
  <si>
    <t xml:space="preserve">Q2 Actual ($)</t>
  </si>
  <si>
    <t xml:space="preserve">Q2 Variance ($)</t>
  </si>
  <si>
    <t xml:space="preserve">Q2 Var %</t>
  </si>
  <si>
    <t xml:space="preserve">Status</t>
  </si>
  <si>
    <t xml:space="preserve">3PL / Warehousing</t>
  </si>
  <si>
    <t xml:space="preserve">SC-001</t>
  </si>
  <si>
    <t xml:space="preserve">Transportation</t>
  </si>
  <si>
    <t xml:space="preserve">SC-002</t>
  </si>
  <si>
    <t xml:space="preserve">Last-Mile Delivery</t>
  </si>
  <si>
    <t xml:space="preserve">SC-003</t>
  </si>
  <si>
    <t xml:space="preserve">Customs &amp; Duties</t>
  </si>
  <si>
    <t xml:space="preserve">SC-004</t>
  </si>
  <si>
    <t xml:space="preserve">Cold Chain / Special</t>
  </si>
  <si>
    <t xml:space="preserve">SC-005</t>
  </si>
  <si>
    <t xml:space="preserve">Packaging Materials</t>
  </si>
  <si>
    <t xml:space="preserve">SC-006</t>
  </si>
  <si>
    <t xml:space="preserve">IT / TMS Systems</t>
  </si>
  <si>
    <t xml:space="preserve">SC-007</t>
  </si>
  <si>
    <t xml:space="preserve">Supplier Audits</t>
  </si>
  <si>
    <t xml:space="preserve">SC-008</t>
  </si>
  <si>
    <t xml:space="preserve">Staff &amp; Overhead</t>
  </si>
  <si>
    <t xml:space="preserve">SC-009</t>
  </si>
  <si>
    <t xml:space="preserve">Contingency Reserve</t>
  </si>
  <si>
    <t xml:space="preserve">SC-010</t>
  </si>
  <si>
    <t xml:space="preserve">TOTAL</t>
  </si>
  <si>
    <t xml:space="preserve">MONTHLY SPEND TRACKER — FY 2025 (Budget Input Blue | Formulas Black)</t>
  </si>
  <si>
    <t xml:space="preserve">Annual Budget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</si>
  <si>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</si>
  <si>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</si>
  <si>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</si>
  <si>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</si>
  <si>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</si>
  <si>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</si>
  <si>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</si>
  <si>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</si>
  <si>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</si>
  <si>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</si>
  <si>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</si>
  <si>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</si>
  <si>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YTD Actual</t>
  </si>
  <si>
    <t xml:space="preserve">YTD Budget</t>
  </si>
  <si>
    <t xml:space="preserve">YTD Variance</t>
  </si>
  <si>
    <t xml:space="preserve">SUPPLY CHAIN KPI DASHBOARD — FY 2025</t>
  </si>
  <si>
    <t xml:space="preserve">Key Performance Indicators | Updated Monthly</t>
  </si>
  <si>
    <t xml:space="preserve">SECTION 1 — COST &amp; BUDGET KPIs</t>
  </si>
  <si>
    <t xml:space="preserve">KPI</t>
  </si>
  <si>
    <t xml:space="preserve">Target</t>
  </si>
  <si>
    <t xml:space="preserve">Q1 Actual</t>
  </si>
  <si>
    <t xml:space="preserve">Q2 Actual</t>
  </si>
  <si>
    <t xml:space="preserve">Q3 Actual</t>
  </si>
  <si>
    <t xml:space="preserve">Q4 Actual</t>
  </si>
  <si>
    <t xml:space="preserve">YTD Avg</t>
  </si>
  <si>
    <t xml:space="preserve">Trend</t>
  </si>
  <si>
    <t xml:space="preserve">Notes</t>
  </si>
  <si>
    <t xml:space="preserve">Budget Utilization Rate (%)</t>
  </si>
  <si>
    <t xml:space="preserve">95-105%</t>
  </si>
  <si>
    <t xml:space="preserve">97.8%</t>
  </si>
  <si>
    <t xml:space="preserve">101.4%</t>
  </si>
  <si>
    <t xml:space="preserve">↔ Stable</t>
  </si>
  <si>
    <t xml:space="preserve">Actual / Budget spend</t>
  </si>
  <si>
    <t xml:space="preserve">Cost per Shipment ($)</t>
  </si>
  <si>
    <t xml:space="preserve">&lt;$85</t>
  </si>
  <si>
    <t xml:space="preserve">$81.20</t>
  </si>
  <si>
    <t xml:space="preserve">$83.60</t>
  </si>
  <si>
    <t xml:space="preserve">↑ Rising</t>
  </si>
  <si>
    <t xml:space="preserve">Total SC cost / # shipments</t>
  </si>
  <si>
    <t xml:space="preserve">Cost per Unit Handled ($)</t>
  </si>
  <si>
    <t xml:space="preserve">&lt;$2.50</t>
  </si>
  <si>
    <t xml:space="preserve">$2.31</t>
  </si>
  <si>
    <t xml:space="preserve">$2.38</t>
  </si>
  <si>
    <t xml:space="preserve">Total handling cost / units</t>
  </si>
  <si>
    <t xml:space="preserve">3PL Cost as % of Revenue</t>
  </si>
  <si>
    <t xml:space="preserve">&lt;8%</t>
  </si>
  <si>
    <t xml:space="preserve">7.2%</t>
  </si>
  <si>
    <t xml:space="preserve">7.6%</t>
  </si>
  <si>
    <t xml:space="preserve">Benchmark: industry 6-9%</t>
  </si>
  <si>
    <t xml:space="preserve">CapEx vs. Budget Variance</t>
  </si>
  <si>
    <t xml:space="preserve">&lt;±5%</t>
  </si>
  <si>
    <t xml:space="preserve">+2.1%</t>
  </si>
  <si>
    <t xml:space="preserve">-1.3%</t>
  </si>
  <si>
    <t xml:space="preserve">✅ Good</t>
  </si>
  <si>
    <t xml:space="preserve">Monitor for over-runs</t>
  </si>
  <si>
    <t xml:space="preserve">Savings vs. Prior Year (%)</t>
  </si>
  <si>
    <t xml:space="preserve">&gt;3%</t>
  </si>
  <si>
    <t xml:space="preserve">4.2%</t>
  </si>
  <si>
    <t xml:space="preserve">2.8%</t>
  </si>
  <si>
    <t xml:space="preserve">⚠ Watch</t>
  </si>
  <si>
    <t xml:space="preserve">Annualized savings target</t>
  </si>
  <si>
    <t xml:space="preserve">SECTION 2 — SERVICE &amp; VENDOR KPIs</t>
  </si>
  <si>
    <t xml:space="preserve">On-Time Delivery Rate (%)</t>
  </si>
  <si>
    <t xml:space="preserve">&gt;98%</t>
  </si>
  <si>
    <t xml:space="preserve">97.1%</t>
  </si>
  <si>
    <t xml:space="preserve">98.3%</t>
  </si>
  <si>
    <t xml:space="preserve">↑ Improving</t>
  </si>
  <si>
    <t xml:space="preserve">Track by 3PL provider</t>
  </si>
  <si>
    <t xml:space="preserve">Order Accuracy Rate (%)</t>
  </si>
  <si>
    <t xml:space="preserve">&gt;99.5%</t>
  </si>
  <si>
    <t xml:space="preserve">99.6%</t>
  </si>
  <si>
    <t xml:space="preserve">99.4%</t>
  </si>
  <si>
    <t xml:space="preserve">Errors / total orders</t>
  </si>
  <si>
    <t xml:space="preserve">Inventory Turnover (x/yr)</t>
  </si>
  <si>
    <t xml:space="preserve">&gt;8x</t>
  </si>
  <si>
    <t xml:space="preserve">8.4x</t>
  </si>
  <si>
    <t xml:space="preserve">7.9x</t>
  </si>
  <si>
    <t xml:space="preserve">COGS / Avg Inventory</t>
  </si>
  <si>
    <t xml:space="preserve">Days Inventory Outstanding</t>
  </si>
  <si>
    <t xml:space="preserve">&lt;45 days</t>
  </si>
  <si>
    <t xml:space="preserve">43</t>
  </si>
  <si>
    <t xml:space="preserve">46</t>
  </si>
  <si>
    <t xml:space="preserve">Avg inventory days</t>
  </si>
  <si>
    <t xml:space="preserve">Vendor Invoice Accuracy (%)</t>
  </si>
  <si>
    <t xml:space="preserve">&gt;99%</t>
  </si>
  <si>
    <t xml:space="preserve">98.7%</t>
  </si>
  <si>
    <t xml:space="preserve">99.1%</t>
  </si>
  <si>
    <t xml:space="preserve">PO vs invoice match rate</t>
  </si>
  <si>
    <t xml:space="preserve">3PL SLA Compliance (%)</t>
  </si>
  <si>
    <t xml:space="preserve">&gt;95%</t>
  </si>
  <si>
    <t xml:space="preserve">96.2%</t>
  </si>
  <si>
    <t xml:space="preserve">97.0%</t>
  </si>
  <si>
    <t xml:space="preserve">By contract terms</t>
  </si>
  <si>
    <t xml:space="preserve">SECTION 3 — PROCUREMENT &amp; SAVINGS KPIs</t>
  </si>
  <si>
    <t xml:space="preserve">Cost Savings Realized ($)</t>
  </si>
  <si>
    <t xml:space="preserve">$60,000</t>
  </si>
  <si>
    <t xml:space="preserve">$18,500</t>
  </si>
  <si>
    <t xml:space="preserve">$14,200</t>
  </si>
  <si>
    <t xml:space="preserve">✅ On Track</t>
  </si>
  <si>
    <t xml:space="preserve">vs. prior year contracts</t>
  </si>
  <si>
    <t xml:space="preserve"># Active Vendor Contracts</t>
  </si>
  <si>
    <t xml:space="preserve">Monitor</t>
  </si>
  <si>
    <t xml:space="preserve">12</t>
  </si>
  <si>
    <t xml:space="preserve">13</t>
  </si>
  <si>
    <t xml:space="preserve">Track expirations</t>
  </si>
  <si>
    <t xml:space="preserve">Contracts Expiring in 90 Days</t>
  </si>
  <si>
    <t xml:space="preserve">&lt;3</t>
  </si>
  <si>
    <t xml:space="preserve">1</t>
  </si>
  <si>
    <t xml:space="preserve">2</t>
  </si>
  <si>
    <t xml:space="preserve">Renegotiation pipeline</t>
  </si>
  <si>
    <t xml:space="preserve">PO Cycle Time (days)</t>
  </si>
  <si>
    <t xml:space="preserve">&lt;3 days</t>
  </si>
  <si>
    <t xml:space="preserve">2.8</t>
  </si>
  <si>
    <t xml:space="preserve">2.5</t>
  </si>
  <si>
    <t xml:space="preserve">PO creation to approval</t>
  </si>
  <si>
    <t xml:space="preserve">AP Invoice Matching Rate (%)</t>
  </si>
  <si>
    <t xml:space="preserve">&gt;97%</t>
  </si>
  <si>
    <t xml:space="preserve">96.4%</t>
  </si>
  <si>
    <t xml:space="preserve">3-way PO match rate</t>
  </si>
  <si>
    <t xml:space="preserve">Savings vs. Negotiated Target</t>
  </si>
  <si>
    <t xml:space="preserve">&gt;90%</t>
  </si>
  <si>
    <t xml:space="preserve">92%</t>
  </si>
  <si>
    <t xml:space="preserve">87%</t>
  </si>
  <si>
    <t xml:space="preserve">Actual savings / target</t>
  </si>
  <si>
    <t xml:space="preserve">VENDOR / 3PL SPEND ANALYSIS — FY 2025</t>
  </si>
  <si>
    <t xml:space="preserve">Vendor / 3PL</t>
  </si>
  <si>
    <t xml:space="preserve">Service Type</t>
  </si>
  <si>
    <t xml:space="preserve">Contract Value ($)</t>
  </si>
  <si>
    <t xml:space="preserve">Q1 Invoiced ($)</t>
  </si>
  <si>
    <t xml:space="preserve">Q2 Invoiced ($)</t>
  </si>
  <si>
    <t xml:space="preserve">H1 Total ($)</t>
  </si>
  <si>
    <t xml:space="preserve">H1 Budget ($)</t>
  </si>
  <si>
    <t xml:space="preserve">H1 Variance ($)</t>
  </si>
  <si>
    <t xml:space="preserve">Var %</t>
  </si>
  <si>
    <t xml:space="preserve">SLA Score (%)</t>
  </si>
  <si>
    <t xml:space="preserve">Contract Expiry</t>
  </si>
  <si>
    <t xml:space="preserve">Action Required</t>
  </si>
  <si>
    <t xml:space="preserve">DHL Supply Chain</t>
  </si>
  <si>
    <t xml:space="preserve">Warehousing/Dist.</t>
  </si>
  <si>
    <t xml:space="preserve">Dec-2025</t>
  </si>
  <si>
    <t xml:space="preserve">Renegotiate Q4</t>
  </si>
  <si>
    <t xml:space="preserve">FedEx Freight</t>
  </si>
  <si>
    <t xml:space="preserve">98.2%</t>
  </si>
  <si>
    <t xml:space="preserve">Jun-2026</t>
  </si>
  <si>
    <t xml:space="preserve">UPS Healthcare</t>
  </si>
  <si>
    <t xml:space="preserve">Cold Chain</t>
  </si>
  <si>
    <t xml:space="preserve">96.5%</t>
  </si>
  <si>
    <t xml:space="preserve">Mar-2026</t>
  </si>
  <si>
    <t xml:space="preserve">Geodis</t>
  </si>
  <si>
    <t xml:space="preserve">Last-Mile</t>
  </si>
  <si>
    <t xml:space="preserve">95.1%</t>
  </si>
  <si>
    <t xml:space="preserve">Sep-2025</t>
  </si>
  <si>
    <t xml:space="preserve">⚠ Renew Soon</t>
  </si>
  <si>
    <t xml:space="preserve">Maersk Line</t>
  </si>
  <si>
    <t xml:space="preserve">Ocean Freight</t>
  </si>
  <si>
    <t xml:space="preserve">94.8%</t>
  </si>
  <si>
    <t xml:space="preserve">Dec-2026</t>
  </si>
  <si>
    <t xml:space="preserve">Piramal Packaging</t>
  </si>
  <si>
    <t xml:space="preserve">Packaging Mfg.</t>
  </si>
  <si>
    <t xml:space="preserve">Oracle TMS (SaaS)</t>
  </si>
  <si>
    <t xml:space="preserve">IT/TMS Platform</t>
  </si>
  <si>
    <t xml:space="preserve">99.9%</t>
  </si>
  <si>
    <t xml:space="preserve">Jan-2027</t>
  </si>
  <si>
    <t xml:space="preserve">Auto-renew</t>
  </si>
  <si>
    <t xml:space="preserve">Bureau Veritas</t>
  </si>
  <si>
    <t xml:space="preserve">Quality Audits</t>
  </si>
  <si>
    <t xml:space="preserve">98.0%</t>
  </si>
  <si>
    <t xml:space="preserve">MONTHLY VARIANCE ANALYSIS — COMMENTARY TEMPLATE</t>
  </si>
  <si>
    <t xml:space="preserve">Month</t>
  </si>
  <si>
    <t xml:space="preserve">Budget ($)</t>
  </si>
  <si>
    <t xml:space="preserve">Actual ($)</t>
  </si>
  <si>
    <t xml:space="preserve">Variance ($)</t>
  </si>
  <si>
    <t xml:space="preserve">Variance %</t>
  </si>
  <si>
    <t xml:space="preserve">Favorable/Unfavorable</t>
  </si>
  <si>
    <t xml:space="preserve">Root Cause / Commentary</t>
  </si>
  <si>
    <t xml:space="preserve">Jan-25</t>
  </si>
  <si>
    <t xml:space="preserve">Higher fuel surcharges from FedEx; reviewing rate schedule</t>
  </si>
  <si>
    <t xml:space="preserve">Lower throughput in Jan; DHL volume discount applied</t>
  </si>
  <si>
    <t xml:space="preserve">Feb-25</t>
  </si>
  <si>
    <t xml:space="preserve">Weather delays increased last-mile costs; one-time event</t>
  </si>
  <si>
    <t xml:space="preserve">New product launch required additional cold storage</t>
  </si>
  <si>
    <t xml:space="preserve">Mar-25</t>
  </si>
  <si>
    <t xml:space="preserve">Bulk purchase discount negotiated with Piramal Packaging</t>
  </si>
  <si>
    <t xml:space="preserve">Apr-25</t>
  </si>
  <si>
    <t xml:space="preserve">Q2 volume spike; peak storage fees activated</t>
  </si>
  <si>
    <t xml:space="preserve">May-25</t>
  </si>
  <si>
    <t xml:space="preserve">Unplanned re-audit at NJ facility; escalated to VP SC</t>
  </si>
  <si>
    <t xml:space="preserve">Jun-25</t>
  </si>
  <si>
    <t xml:space="preserve">On budget; Oracle TMS subscription renewed at same rate</t>
  </si>
  <si>
    <t xml:space="preserve">SUPPLY CHAIN BUDGET DASHBOARD — README</t>
  </si>
  <si>
    <t xml:space="preserve">SHEET</t>
  </si>
  <si>
    <t xml:space="preserve">PURPOSE</t>
  </si>
  <si>
    <t xml:space="preserve">Budget vs Actual</t>
  </si>
  <si>
    <t xml:space="preserve">Main budget tracker: CapEx/OpEx by cost category, Q1 &amp; Q2 actuals vs. budget, variance flags</t>
  </si>
  <si>
    <t xml:space="preserve">Monthly Spend Tracker</t>
  </si>
  <si>
    <t xml:space="preserve">12-month rolling spend by category; blue = manual inputs, black = formula-driven totals</t>
  </si>
  <si>
    <t xml:space="preserve">KPI Dashboard</t>
  </si>
  <si>
    <t xml:space="preserve">Three KPI sections: Cost, Service/Vendor, Procurement — with targets, actuals, trend &amp; status</t>
  </si>
  <si>
    <t xml:space="preserve">Vendor Spend Analysis</t>
  </si>
  <si>
    <t xml:space="preserve">Per-vendor contract value, H1 invoiced, variance, SLA score, expiry &amp; action flag</t>
  </si>
  <si>
    <t xml:space="preserve">Variance Analysis</t>
  </si>
  <si>
    <t xml:space="preserve">Root-cause commentary log for significant variances — mirrors month-end reporting workflow</t>
  </si>
  <si>
    <t xml:space="preserve">HOW TO UPDATE</t>
  </si>
  <si>
    <t xml:space="preserve">1.</t>
  </si>
  <si>
    <t xml:space="preserve">Budget vs Actual → Update Q3/Q4 Budget and Actual columns (C–K) as data becomes available</t>
  </si>
  <si>
    <t xml:space="preserve">2.</t>
  </si>
  <si>
    <t xml:space="preserve">Monthly Spend Tracker → Enter monthly actual spend in blue cells (C–N) each month</t>
  </si>
  <si>
    <t xml:space="preserve">3.</t>
  </si>
  <si>
    <t xml:space="preserve">KPI Dashboard → Update Q3/Q4 Actual columns each quarter; formulas auto-calculate YTD</t>
  </si>
  <si>
    <t xml:space="preserve">4.</t>
  </si>
  <si>
    <t xml:space="preserve">Vendor Spend Analysis → Update invoiced amounts quarterly; update SLA scores from 3PL reports</t>
  </si>
  <si>
    <t xml:space="preserve">5.</t>
  </si>
  <si>
    <t xml:space="preserve">Variance Analysis → Add rows each month for any variance &gt;5%; include root cause commentary</t>
  </si>
  <si>
    <t xml:space="preserve">COLOR CODING</t>
  </si>
  <si>
    <t xml:space="preserve">Blue text</t>
  </si>
  <si>
    <t xml:space="preserve">Hardcoded inputs — numbers you change manually</t>
  </si>
  <si>
    <t xml:space="preserve">Black text</t>
  </si>
  <si>
    <t xml:space="preserve">Formulas — auto-calculated, do not overwrite</t>
  </si>
  <si>
    <t xml:space="preserve">Green text</t>
  </si>
  <si>
    <t xml:space="preserve">Cross-sheet links (not used here but standard convention)</t>
  </si>
  <si>
    <t xml:space="preserve">BUILT BY</t>
  </si>
  <si>
    <t xml:space="preserve">Priyanka Kulkarni | Supply Chain Finance &amp; Analytics | github.com/Priyankakulkarni17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</si>
</sst>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;\(0.0%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FFFFFF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6" min="4" style="0" width="14"/>
    <col collapsed="false" customWidth="true" hidden="false" outlineLevel="0" max="7" min="7" style="0" width="10"/>
    <col collapsed="false" customWidth="true" hidden="false" outlineLevel="0" max="10" min="8" style="0" width="14"/>
    <col collapsed="false" customWidth="true" hidden="false" outlineLevel="0" max="11" min="11" style="0" width="10"/>
    <col collapsed="false" customWidth="true" hidden="false" outlineLevel="0" max="12" min="12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14</v>
      </c>
      <c r="B5" s="5" t="s">
        <v>15</v>
      </c>
      <c r="C5" s="6" t="n">
        <v>480000</v>
      </c>
      <c r="D5" s="6" t="n">
        <v>120000</v>
      </c>
      <c r="E5" s="6" t="n">
        <v>113500</v>
      </c>
      <c r="F5" s="6" t="n">
        <f aca="false">E5-D5</f>
        <v>-6500</v>
      </c>
      <c r="G5" s="7" t="n">
        <f aca="false">IFERROR(F5/D5,0)</f>
        <v>-0.0541666666666667</v>
      </c>
      <c r="H5" s="6" t="n">
        <v>120000</v>
      </c>
      <c r="I5" s="6" t="n">
        <v>127800</v>
      </c>
      <c r="J5" s="6" t="n">
        <f aca="false">I5-H5</f>
        <v>7800</v>
      </c>
      <c r="K5" s="7" t="n">
        <f aca="false">IFERROR(J5/H5,0)</f>
        <v>0.065</v>
      </c>
      <c r="L5" s="5" t="str">
        <f aca="false">IF(ABS(G5)&gt;0.05,"⚠ Review",IF(ABS(G5)&gt;0.1,"🔴 Over","✅ On Track"))</f>
        <v>⚠ Review</v>
      </c>
    </row>
    <row r="6" customFormat="false" ht="15" hidden="false" customHeight="false" outlineLevel="0" collapsed="false">
      <c r="A6" s="8" t="s">
        <v>16</v>
      </c>
      <c r="B6" s="9" t="s">
        <v>17</v>
      </c>
      <c r="C6" s="10" t="n">
        <v>360000</v>
      </c>
      <c r="D6" s="10" t="n">
        <v>90000</v>
      </c>
      <c r="E6" s="10" t="n">
        <v>95200</v>
      </c>
      <c r="F6" s="10" t="n">
        <f aca="false">E6-D6</f>
        <v>5200</v>
      </c>
      <c r="G6" s="11" t="n">
        <f aca="false">IFERROR(F6/D6,0)</f>
        <v>0.0577777777777778</v>
      </c>
      <c r="H6" s="10" t="n">
        <v>90000</v>
      </c>
      <c r="I6" s="10" t="n">
        <v>88400</v>
      </c>
      <c r="J6" s="10" t="n">
        <f aca="false">I6-H6</f>
        <v>-1600</v>
      </c>
      <c r="K6" s="11" t="n">
        <f aca="false">IFERROR(J6/H6,0)</f>
        <v>-0.0177777777777778</v>
      </c>
      <c r="L6" s="9" t="str">
        <f aca="false">IF(ABS(G6)&gt;0.05,"⚠ Review",IF(ABS(G6)&gt;0.1,"🔴 Over","✅ On Track"))</f>
        <v>⚠ Review</v>
      </c>
    </row>
    <row r="7" customFormat="false" ht="15" hidden="false" customHeight="false" outlineLevel="0" collapsed="false">
      <c r="A7" s="4" t="s">
        <v>18</v>
      </c>
      <c r="B7" s="5" t="s">
        <v>19</v>
      </c>
      <c r="C7" s="6" t="n">
        <v>200000</v>
      </c>
      <c r="D7" s="6" t="n">
        <v>50000</v>
      </c>
      <c r="E7" s="6" t="n">
        <v>48300</v>
      </c>
      <c r="F7" s="6" t="n">
        <f aca="false">E7-D7</f>
        <v>-1700</v>
      </c>
      <c r="G7" s="7" t="n">
        <f aca="false">IFERROR(F7/D7,0)</f>
        <v>-0.034</v>
      </c>
      <c r="H7" s="6" t="n">
        <v>50000</v>
      </c>
      <c r="I7" s="6" t="n">
        <v>53100</v>
      </c>
      <c r="J7" s="6" t="n">
        <f aca="false">I7-H7</f>
        <v>3100</v>
      </c>
      <c r="K7" s="7" t="n">
        <f aca="false">IFERROR(J7/H7,0)</f>
        <v>0.062</v>
      </c>
      <c r="L7" s="5" t="str">
        <f aca="false">IF(ABS(G7)&gt;0.05,"⚠ Review",IF(ABS(G7)&gt;0.1,"🔴 Over","✅ On Track"))</f>
        <v>✅ On Track</v>
      </c>
    </row>
    <row r="8" customFormat="false" ht="15" hidden="false" customHeight="false" outlineLevel="0" collapsed="false">
      <c r="A8" s="8" t="s">
        <v>20</v>
      </c>
      <c r="B8" s="9" t="s">
        <v>21</v>
      </c>
      <c r="C8" s="10" t="n">
        <v>96000</v>
      </c>
      <c r="D8" s="10" t="n">
        <v>24000</v>
      </c>
      <c r="E8" s="10" t="n">
        <v>24800</v>
      </c>
      <c r="F8" s="10" t="n">
        <f aca="false">E8-D8</f>
        <v>800</v>
      </c>
      <c r="G8" s="11" t="n">
        <f aca="false">IFERROR(F8/D8,0)</f>
        <v>0.0333333333333333</v>
      </c>
      <c r="H8" s="10" t="n">
        <v>24000</v>
      </c>
      <c r="I8" s="10" t="n">
        <v>22900</v>
      </c>
      <c r="J8" s="10" t="n">
        <f aca="false">I8-H8</f>
        <v>-1100</v>
      </c>
      <c r="K8" s="11" t="n">
        <f aca="false">IFERROR(J8/H8,0)</f>
        <v>-0.0458333333333333</v>
      </c>
      <c r="L8" s="9" t="str">
        <f aca="false">IF(ABS(G8)&gt;0.05,"⚠ Review",IF(ABS(G8)&gt;0.1,"🔴 Over","✅ On Track"))</f>
        <v>✅ On Track</v>
      </c>
    </row>
    <row r="9" customFormat="false" ht="15" hidden="false" customHeight="false" outlineLevel="0" collapsed="false">
      <c r="A9" s="4" t="s">
        <v>22</v>
      </c>
      <c r="B9" s="5" t="s">
        <v>23</v>
      </c>
      <c r="C9" s="6" t="n">
        <v>120000</v>
      </c>
      <c r="D9" s="6" t="n">
        <v>30000</v>
      </c>
      <c r="E9" s="6" t="n">
        <v>29100</v>
      </c>
      <c r="F9" s="6" t="n">
        <f aca="false">E9-D9</f>
        <v>-900</v>
      </c>
      <c r="G9" s="7" t="n">
        <f aca="false">IFERROR(F9/D9,0)</f>
        <v>-0.03</v>
      </c>
      <c r="H9" s="6" t="n">
        <v>30000</v>
      </c>
      <c r="I9" s="6" t="n">
        <v>31500</v>
      </c>
      <c r="J9" s="6" t="n">
        <f aca="false">I9-H9</f>
        <v>1500</v>
      </c>
      <c r="K9" s="7" t="n">
        <f aca="false">IFERROR(J9/H9,0)</f>
        <v>0.05</v>
      </c>
      <c r="L9" s="5" t="str">
        <f aca="false">IF(ABS(G9)&gt;0.05,"⚠ Review",IF(ABS(G9)&gt;0.1,"🔴 Over","✅ On Track"))</f>
        <v>✅ On Track</v>
      </c>
    </row>
    <row r="10" customFormat="false" ht="15" hidden="false" customHeight="false" outlineLevel="0" collapsed="false">
      <c r="A10" s="8" t="s">
        <v>24</v>
      </c>
      <c r="B10" s="9" t="s">
        <v>25</v>
      </c>
      <c r="C10" s="10" t="n">
        <v>144000</v>
      </c>
      <c r="D10" s="10" t="n">
        <v>36000</v>
      </c>
      <c r="E10" s="10" t="n">
        <v>35200</v>
      </c>
      <c r="F10" s="10" t="n">
        <f aca="false">E10-D10</f>
        <v>-800</v>
      </c>
      <c r="G10" s="11" t="n">
        <f aca="false">IFERROR(F10/D10,0)</f>
        <v>-0.0222222222222222</v>
      </c>
      <c r="H10" s="10" t="n">
        <v>36000</v>
      </c>
      <c r="I10" s="10" t="n">
        <v>36800</v>
      </c>
      <c r="J10" s="10" t="n">
        <f aca="false">I10-H10</f>
        <v>800</v>
      </c>
      <c r="K10" s="11" t="n">
        <f aca="false">IFERROR(J10/H10,0)</f>
        <v>0.0222222222222222</v>
      </c>
      <c r="L10" s="9" t="str">
        <f aca="false">IF(ABS(G10)&gt;0.05,"⚠ Review",IF(ABS(G10)&gt;0.1,"🔴 Over","✅ On Track"))</f>
        <v>✅ On Track</v>
      </c>
    </row>
    <row r="11" customFormat="false" ht="15" hidden="false" customHeight="false" outlineLevel="0" collapsed="false">
      <c r="A11" s="4" t="s">
        <v>26</v>
      </c>
      <c r="B11" s="5" t="s">
        <v>27</v>
      </c>
      <c r="C11" s="6" t="n">
        <v>60000</v>
      </c>
      <c r="D11" s="6" t="n">
        <v>15000</v>
      </c>
      <c r="E11" s="6" t="n">
        <v>15000</v>
      </c>
      <c r="F11" s="6" t="n">
        <f aca="false">E11-D11</f>
        <v>0</v>
      </c>
      <c r="G11" s="7" t="n">
        <f aca="false">IFERROR(F11/D11,0)</f>
        <v>0</v>
      </c>
      <c r="H11" s="6" t="n">
        <v>15000</v>
      </c>
      <c r="I11" s="6" t="n">
        <v>15000</v>
      </c>
      <c r="J11" s="6" t="n">
        <f aca="false">I11-H11</f>
        <v>0</v>
      </c>
      <c r="K11" s="7" t="n">
        <f aca="false">IFERROR(J11/H11,0)</f>
        <v>0</v>
      </c>
      <c r="L11" s="5" t="str">
        <f aca="false">IF(ABS(G11)&gt;0.05,"⚠ Review",IF(ABS(G11)&gt;0.1,"🔴 Over","✅ On Track"))</f>
        <v>✅ On Track</v>
      </c>
    </row>
    <row r="12" customFormat="false" ht="15" hidden="false" customHeight="false" outlineLevel="0" collapsed="false">
      <c r="A12" s="8" t="s">
        <v>28</v>
      </c>
      <c r="B12" s="9" t="s">
        <v>29</v>
      </c>
      <c r="C12" s="10" t="n">
        <v>40000</v>
      </c>
      <c r="D12" s="10" t="n">
        <v>10000</v>
      </c>
      <c r="E12" s="10" t="n">
        <v>9800</v>
      </c>
      <c r="F12" s="10" t="n">
        <f aca="false">E12-D12</f>
        <v>-200</v>
      </c>
      <c r="G12" s="11" t="n">
        <f aca="false">IFERROR(F12/D12,0)</f>
        <v>-0.02</v>
      </c>
      <c r="H12" s="10" t="n">
        <v>10000</v>
      </c>
      <c r="I12" s="10" t="n">
        <v>10200</v>
      </c>
      <c r="J12" s="10" t="n">
        <f aca="false">I12-H12</f>
        <v>200</v>
      </c>
      <c r="K12" s="11" t="n">
        <f aca="false">IFERROR(J12/H12,0)</f>
        <v>0.02</v>
      </c>
      <c r="L12" s="9" t="str">
        <f aca="false">IF(ABS(G12)&gt;0.05,"⚠ Review",IF(ABS(G12)&gt;0.1,"🔴 Over","✅ On Track"))</f>
        <v>✅ On Track</v>
      </c>
    </row>
    <row r="13" customFormat="false" ht="15" hidden="false" customHeight="false" outlineLevel="0" collapsed="false">
      <c r="A13" s="4" t="s">
        <v>30</v>
      </c>
      <c r="B13" s="5" t="s">
        <v>31</v>
      </c>
      <c r="C13" s="6" t="n">
        <v>300000</v>
      </c>
      <c r="D13" s="6" t="n">
        <v>75000</v>
      </c>
      <c r="E13" s="6" t="n">
        <v>74200</v>
      </c>
      <c r="F13" s="6" t="n">
        <f aca="false">E13-D13</f>
        <v>-800</v>
      </c>
      <c r="G13" s="7" t="n">
        <f aca="false">IFERROR(F13/D13,0)</f>
        <v>-0.0106666666666667</v>
      </c>
      <c r="H13" s="6" t="n">
        <v>75000</v>
      </c>
      <c r="I13" s="6" t="n">
        <v>75800</v>
      </c>
      <c r="J13" s="6" t="n">
        <f aca="false">I13-H13</f>
        <v>800</v>
      </c>
      <c r="K13" s="7" t="n">
        <f aca="false">IFERROR(J13/H13,0)</f>
        <v>0.0106666666666667</v>
      </c>
      <c r="L13" s="5" t="str">
        <f aca="false">IF(ABS(G13)&gt;0.05,"⚠ Review",IF(ABS(G13)&gt;0.1,"🔴 Over","✅ On Track"))</f>
        <v>✅ On Track</v>
      </c>
    </row>
    <row r="14" customFormat="false" ht="15" hidden="false" customHeight="false" outlineLevel="0" collapsed="false">
      <c r="A14" s="8" t="s">
        <v>32</v>
      </c>
      <c r="B14" s="9" t="s">
        <v>33</v>
      </c>
      <c r="C14" s="10" t="n">
        <v>60000</v>
      </c>
      <c r="D14" s="10" t="n">
        <v>15000</v>
      </c>
      <c r="E14" s="10" t="n">
        <v>0</v>
      </c>
      <c r="F14" s="10" t="n">
        <f aca="false">E14-D14</f>
        <v>-15000</v>
      </c>
      <c r="G14" s="11" t="n">
        <f aca="false">IFERROR(F14/D14,0)</f>
        <v>-1</v>
      </c>
      <c r="H14" s="10" t="n">
        <v>15000</v>
      </c>
      <c r="I14" s="10" t="n">
        <v>0</v>
      </c>
      <c r="J14" s="10" t="n">
        <f aca="false">I14-H14</f>
        <v>-15000</v>
      </c>
      <c r="K14" s="11" t="n">
        <f aca="false">IFERROR(J14/H14,0)</f>
        <v>-1</v>
      </c>
      <c r="L14" s="9" t="str">
        <f aca="false">IF(ABS(G14)&gt;0.05,"⚠ Review",IF(ABS(G14)&gt;0.1,"🔴 Over","✅ On Track"))</f>
        <v>⚠ Review</v>
      </c>
    </row>
    <row r="15" customFormat="false" ht="21.75" hidden="false" customHeight="true" outlineLevel="0" collapsed="false">
      <c r="A15" s="12" t="s">
        <v>34</v>
      </c>
      <c r="B15" s="12"/>
      <c r="C15" s="13" t="n">
        <f aca="false">SUM(C5:C14)</f>
        <v>1860000</v>
      </c>
      <c r="D15" s="13" t="n">
        <f aca="false">SUM(D5:D14)</f>
        <v>465000</v>
      </c>
      <c r="E15" s="13" t="n">
        <f aca="false">SUM(E5:E14)</f>
        <v>445100</v>
      </c>
      <c r="F15" s="13" t="n">
        <f aca="false">SUM(F5:F14)</f>
        <v>-19900</v>
      </c>
      <c r="G15" s="14" t="n">
        <f aca="false">IFERROR(F15/D15,0)</f>
        <v>-0.0427956989247312</v>
      </c>
      <c r="H15" s="13" t="n">
        <f aca="false">SUM(H5:H14)</f>
        <v>465000</v>
      </c>
      <c r="I15" s="13" t="n">
        <f aca="false">SUM(I5:I14)</f>
        <v>461500</v>
      </c>
      <c r="J15" s="13" t="n">
        <f aca="false">SUM(J5:J14)</f>
        <v>-3500</v>
      </c>
      <c r="K15" s="14" t="n">
        <f aca="false">IFERROR(J15/H15,0)</f>
        <v>-0.00752688172043011</v>
      </c>
      <c r="L15" s="12"/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17" min="3" style="0" width="12"/>
  </cols>
  <sheetData>
    <row r="1" customFormat="false" ht="27.75" hidden="false" customHeight="true" outlineLevel="0" collapsed="false">
      <c r="A1" s="15" t="s">
        <v>35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3" customFormat="false" ht="21.75" hidden="false" customHeight="true" outlineLevel="0" collapsed="false">
      <c r="A3" s="3" t="s">
        <v>2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43</v>
      </c>
      <c r="J3" s="3" t="s">
        <v>44</v>
      </c>
      <c r="K3" s="3" t="s">
        <v>45</v>
      </c>
      <c r="L3" s="3" t="s">
        <v>46</v>
      </c>
      <c r="M3" s="3" t="s">
        <v>47</v>
      </c>
      <c r="N3" s="3" t="s">
        <v>48</v>
      </c>
      <c r="O3" s="3" t="s">
        <v>49</v>
      </c>
      <c r="P3" s="3" t="s">
        <v>50</v>
      </c>
      <c r="Q3" s="3" t="s">
        <v>51</v>
      </c>
    </row>
    <row r="4" customFormat="false" ht="15" hidden="false" customHeight="false" outlineLevel="0" collapsed="false">
      <c r="A4" s="8" t="s">
        <v>14</v>
      </c>
      <c r="B4" s="10" t="n">
        <v>480000</v>
      </c>
      <c r="C4" s="10" t="n">
        <v>38000</v>
      </c>
      <c r="D4" s="10" t="n">
        <v>39000</v>
      </c>
      <c r="E4" s="10" t="n">
        <v>36500</v>
      </c>
      <c r="F4" s="10" t="n">
        <v>40000</v>
      </c>
      <c r="G4" s="10" t="n">
        <v>43000</v>
      </c>
      <c r="H4" s="10" t="n">
        <v>44500</v>
      </c>
      <c r="I4" s="10"/>
      <c r="J4" s="10"/>
      <c r="K4" s="10"/>
      <c r="L4" s="10"/>
      <c r="M4" s="10"/>
      <c r="N4" s="10"/>
      <c r="O4" s="10" t="n">
        <f aca="false">SUM(C4:N4)</f>
        <v>241000</v>
      </c>
      <c r="P4" s="10" t="n">
        <f aca="false">B4/2</f>
        <v>240000</v>
      </c>
      <c r="Q4" s="10" t="n">
        <f aca="false">O4-P4</f>
        <v>1000</v>
      </c>
    </row>
    <row r="5" customFormat="false" ht="15" hidden="false" customHeight="false" outlineLevel="0" collapsed="false">
      <c r="A5" s="4" t="s">
        <v>16</v>
      </c>
      <c r="B5" s="6" t="n">
        <v>360000</v>
      </c>
      <c r="C5" s="6" t="n">
        <v>28000</v>
      </c>
      <c r="D5" s="6" t="n">
        <v>31000</v>
      </c>
      <c r="E5" s="6" t="n">
        <v>36200</v>
      </c>
      <c r="F5" s="6" t="n">
        <v>30000</v>
      </c>
      <c r="G5" s="6" t="n">
        <v>29000</v>
      </c>
      <c r="H5" s="6" t="n">
        <v>29400</v>
      </c>
      <c r="I5" s="6"/>
      <c r="J5" s="6"/>
      <c r="K5" s="6"/>
      <c r="L5" s="6"/>
      <c r="M5" s="6"/>
      <c r="N5" s="6"/>
      <c r="O5" s="6" t="n">
        <f aca="false">SUM(C5:N5)</f>
        <v>183600</v>
      </c>
      <c r="P5" s="6" t="n">
        <f aca="false">B5/2</f>
        <v>180000</v>
      </c>
      <c r="Q5" s="6" t="n">
        <f aca="false">O5-P5</f>
        <v>3600</v>
      </c>
    </row>
    <row r="6" customFormat="false" ht="15" hidden="false" customHeight="false" outlineLevel="0" collapsed="false">
      <c r="A6" s="8" t="s">
        <v>18</v>
      </c>
      <c r="B6" s="10" t="n">
        <v>200000</v>
      </c>
      <c r="C6" s="10" t="n">
        <v>16000</v>
      </c>
      <c r="D6" s="10" t="n">
        <v>16000</v>
      </c>
      <c r="E6" s="10" t="n">
        <v>16300</v>
      </c>
      <c r="F6" s="10" t="n">
        <v>17000</v>
      </c>
      <c r="G6" s="10" t="n">
        <v>17500</v>
      </c>
      <c r="H6" s="10" t="n">
        <v>18100</v>
      </c>
      <c r="I6" s="10"/>
      <c r="J6" s="10"/>
      <c r="K6" s="10"/>
      <c r="L6" s="10"/>
      <c r="M6" s="10"/>
      <c r="N6" s="10"/>
      <c r="O6" s="10" t="n">
        <f aca="false">SUM(C6:N6)</f>
        <v>100900</v>
      </c>
      <c r="P6" s="10" t="n">
        <f aca="false">B6/2</f>
        <v>100000</v>
      </c>
      <c r="Q6" s="10" t="n">
        <f aca="false">O6-P6</f>
        <v>900</v>
      </c>
    </row>
    <row r="7" customFormat="false" ht="15" hidden="false" customHeight="false" outlineLevel="0" collapsed="false">
      <c r="A7" s="4" t="s">
        <v>20</v>
      </c>
      <c r="B7" s="6" t="n">
        <v>96000</v>
      </c>
      <c r="C7" s="6" t="n">
        <v>8000</v>
      </c>
      <c r="D7" s="6" t="n">
        <v>8200</v>
      </c>
      <c r="E7" s="6" t="n">
        <v>8600</v>
      </c>
      <c r="F7" s="6" t="n">
        <v>7800</v>
      </c>
      <c r="G7" s="6" t="n">
        <v>7500</v>
      </c>
      <c r="H7" s="6" t="n">
        <v>7300</v>
      </c>
      <c r="I7" s="6"/>
      <c r="J7" s="6"/>
      <c r="K7" s="6"/>
      <c r="L7" s="6"/>
      <c r="M7" s="6"/>
      <c r="N7" s="6"/>
      <c r="O7" s="6" t="n">
        <f aca="false">SUM(C7:N7)</f>
        <v>47400</v>
      </c>
      <c r="P7" s="6" t="n">
        <f aca="false">B7/2</f>
        <v>48000</v>
      </c>
      <c r="Q7" s="6" t="n">
        <f aca="false">O7-P7</f>
        <v>-600</v>
      </c>
    </row>
    <row r="8" customFormat="false" ht="15" hidden="false" customHeight="false" outlineLevel="0" collapsed="false">
      <c r="A8" s="8" t="s">
        <v>22</v>
      </c>
      <c r="B8" s="10" t="n">
        <v>120000</v>
      </c>
      <c r="C8" s="10" t="n">
        <v>9500</v>
      </c>
      <c r="D8" s="10" t="n">
        <v>9800</v>
      </c>
      <c r="E8" s="10" t="n">
        <v>10000</v>
      </c>
      <c r="F8" s="10" t="n">
        <v>10200</v>
      </c>
      <c r="G8" s="10" t="n">
        <v>10800</v>
      </c>
      <c r="H8" s="10" t="n">
        <v>11000</v>
      </c>
      <c r="I8" s="10"/>
      <c r="J8" s="10"/>
      <c r="K8" s="10"/>
      <c r="L8" s="10"/>
      <c r="M8" s="10"/>
      <c r="N8" s="10"/>
      <c r="O8" s="10" t="n">
        <f aca="false">SUM(C8:N8)</f>
        <v>61300</v>
      </c>
      <c r="P8" s="10" t="n">
        <f aca="false">B8/2</f>
        <v>60000</v>
      </c>
      <c r="Q8" s="10" t="n">
        <f aca="false">O8-P8</f>
        <v>1300</v>
      </c>
    </row>
    <row r="9" customFormat="false" ht="15" hidden="false" customHeight="false" outlineLevel="0" collapsed="false">
      <c r="A9" s="4" t="s">
        <v>24</v>
      </c>
      <c r="B9" s="6" t="n">
        <v>144000</v>
      </c>
      <c r="C9" s="6" t="n">
        <v>11500</v>
      </c>
      <c r="D9" s="6" t="n">
        <v>11800</v>
      </c>
      <c r="E9" s="6" t="n">
        <v>11900</v>
      </c>
      <c r="F9" s="6" t="n">
        <v>12000</v>
      </c>
      <c r="G9" s="6" t="n">
        <v>12200</v>
      </c>
      <c r="H9" s="6" t="n">
        <v>12100</v>
      </c>
      <c r="I9" s="6"/>
      <c r="J9" s="6"/>
      <c r="K9" s="6"/>
      <c r="L9" s="6"/>
      <c r="M9" s="6"/>
      <c r="N9" s="6"/>
      <c r="O9" s="6" t="n">
        <f aca="false">SUM(C9:N9)</f>
        <v>71500</v>
      </c>
      <c r="P9" s="6" t="n">
        <f aca="false">B9/2</f>
        <v>72000</v>
      </c>
      <c r="Q9" s="6" t="n">
        <f aca="false">O9-P9</f>
        <v>-500</v>
      </c>
    </row>
    <row r="10" customFormat="false" ht="15" hidden="false" customHeight="false" outlineLevel="0" collapsed="false">
      <c r="A10" s="8" t="s">
        <v>26</v>
      </c>
      <c r="B10" s="10" t="n">
        <v>60000</v>
      </c>
      <c r="C10" s="10" t="n">
        <v>5000</v>
      </c>
      <c r="D10" s="10" t="n">
        <v>5000</v>
      </c>
      <c r="E10" s="10" t="n">
        <v>5000</v>
      </c>
      <c r="F10" s="10" t="n">
        <v>5000</v>
      </c>
      <c r="G10" s="10" t="n">
        <v>5000</v>
      </c>
      <c r="H10" s="10" t="n">
        <v>5000</v>
      </c>
      <c r="I10" s="10"/>
      <c r="J10" s="10"/>
      <c r="K10" s="10"/>
      <c r="L10" s="10"/>
      <c r="M10" s="10"/>
      <c r="N10" s="10"/>
      <c r="O10" s="10" t="n">
        <f aca="false">SUM(C10:N10)</f>
        <v>30000</v>
      </c>
      <c r="P10" s="10" t="n">
        <f aca="false">B10/2</f>
        <v>30000</v>
      </c>
      <c r="Q10" s="10" t="n">
        <f aca="false">O10-P10</f>
        <v>0</v>
      </c>
    </row>
    <row r="11" customFormat="false" ht="15" hidden="false" customHeight="false" outlineLevel="0" collapsed="false">
      <c r="A11" s="4" t="s">
        <v>28</v>
      </c>
      <c r="B11" s="6" t="n">
        <v>40000</v>
      </c>
      <c r="C11" s="6" t="n">
        <v>3200</v>
      </c>
      <c r="D11" s="6" t="n">
        <v>3300</v>
      </c>
      <c r="E11" s="6" t="n">
        <v>3300</v>
      </c>
      <c r="F11" s="6" t="n">
        <v>3400</v>
      </c>
      <c r="G11" s="6" t="n">
        <v>3500</v>
      </c>
      <c r="H11" s="6" t="n">
        <v>3300</v>
      </c>
      <c r="I11" s="6"/>
      <c r="J11" s="6"/>
      <c r="K11" s="6"/>
      <c r="L11" s="6"/>
      <c r="M11" s="6"/>
      <c r="N11" s="6"/>
      <c r="O11" s="6" t="n">
        <f aca="false">SUM(C11:N11)</f>
        <v>20000</v>
      </c>
      <c r="P11" s="6" t="n">
        <f aca="false">B11/2</f>
        <v>20000</v>
      </c>
      <c r="Q11" s="6" t="n">
        <f aca="false">O11-P11</f>
        <v>0</v>
      </c>
    </row>
    <row r="12" customFormat="false" ht="15" hidden="false" customHeight="false" outlineLevel="0" collapsed="false">
      <c r="A12" s="8" t="s">
        <v>30</v>
      </c>
      <c r="B12" s="10" t="n">
        <v>300000</v>
      </c>
      <c r="C12" s="10" t="n">
        <v>24500</v>
      </c>
      <c r="D12" s="10" t="n">
        <v>24800</v>
      </c>
      <c r="E12" s="10" t="n">
        <v>24900</v>
      </c>
      <c r="F12" s="10" t="n">
        <v>25100</v>
      </c>
      <c r="G12" s="10" t="n">
        <v>25300</v>
      </c>
      <c r="H12" s="10" t="n">
        <v>25200</v>
      </c>
      <c r="I12" s="10"/>
      <c r="J12" s="10"/>
      <c r="K12" s="10"/>
      <c r="L12" s="10"/>
      <c r="M12" s="10"/>
      <c r="N12" s="10"/>
      <c r="O12" s="10" t="n">
        <f aca="false">SUM(C12:N12)</f>
        <v>149800</v>
      </c>
      <c r="P12" s="10" t="n">
        <f aca="false">B12/2</f>
        <v>150000</v>
      </c>
      <c r="Q12" s="10" t="n">
        <f aca="false">O12-P12</f>
        <v>-200</v>
      </c>
    </row>
    <row r="13" customFormat="false" ht="15" hidden="false" customHeight="false" outlineLevel="0" collapsed="false">
      <c r="A13" s="4" t="s">
        <v>32</v>
      </c>
      <c r="B13" s="6" t="n">
        <v>60000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 t="n">
        <f aca="false">SUM(C13:N13)</f>
        <v>0</v>
      </c>
      <c r="P13" s="6" t="n">
        <f aca="false">B13/2</f>
        <v>30000</v>
      </c>
      <c r="Q13" s="6" t="n">
        <f aca="false">O13-P13</f>
        <v>-30000</v>
      </c>
    </row>
    <row r="14" customFormat="false" ht="21.75" hidden="false" customHeight="true" outlineLevel="0" collapsed="false">
      <c r="A14" s="12" t="s">
        <v>34</v>
      </c>
      <c r="B14" s="13" t="n">
        <f aca="false">SUM(B4:B13)</f>
        <v>1860000</v>
      </c>
      <c r="C14" s="13" t="n">
        <f aca="false">SUM(C4:C13)</f>
        <v>143700</v>
      </c>
      <c r="D14" s="13" t="n">
        <f aca="false">SUM(D4:D13)</f>
        <v>148900</v>
      </c>
      <c r="E14" s="13" t="n">
        <f aca="false">SUM(E4:E13)</f>
        <v>152700</v>
      </c>
      <c r="F14" s="13" t="n">
        <f aca="false">SUM(F4:F13)</f>
        <v>150500</v>
      </c>
      <c r="G14" s="13" t="n">
        <f aca="false">SUM(G4:G13)</f>
        <v>153800</v>
      </c>
      <c r="H14" s="13" t="n">
        <f aca="false">SUM(H4:H13)</f>
        <v>155900</v>
      </c>
      <c r="I14" s="13" t="n">
        <f aca="false">SUM(I4:I13)</f>
        <v>0</v>
      </c>
      <c r="J14" s="13" t="n">
        <f aca="false">SUM(J4:J13)</f>
        <v>0</v>
      </c>
      <c r="K14" s="13" t="n">
        <f aca="false">SUM(K4:K13)</f>
        <v>0</v>
      </c>
      <c r="L14" s="13" t="n">
        <f aca="false">SUM(L4:L13)</f>
        <v>0</v>
      </c>
      <c r="M14" s="13" t="n">
        <f aca="false">SUM(M4:M13)</f>
        <v>0</v>
      </c>
      <c r="N14" s="13" t="n">
        <f aca="false">SUM(N4:N13)</f>
        <v>0</v>
      </c>
      <c r="O14" s="13" t="n">
        <f aca="false">SUM(O4:O13)</f>
        <v>905500</v>
      </c>
      <c r="P14" s="13" t="n">
        <f aca="false">SUM(P4:P13)</f>
        <v>930000</v>
      </c>
      <c r="Q14" s="13" t="n">
        <f aca="false">SUM(Q4:Q13)</f>
        <v>-24500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28"/>
  </cols>
  <sheetData>
    <row r="1" customFormat="false" ht="30" hidden="false" customHeight="true" outlineLevel="0" collapsed="false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53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9.5" hidden="false" customHeight="true" outlineLevel="0" collapsed="false">
      <c r="A4" s="16" t="s">
        <v>54</v>
      </c>
      <c r="B4" s="16"/>
      <c r="C4" s="16"/>
      <c r="D4" s="16"/>
      <c r="E4" s="16"/>
      <c r="F4" s="16"/>
      <c r="G4" s="16"/>
      <c r="H4" s="16"/>
      <c r="I4" s="16"/>
      <c r="J4" s="16"/>
    </row>
    <row r="5" customFormat="false" ht="21.75" hidden="false" customHeight="true" outlineLevel="0" collapsed="false">
      <c r="A5" s="3" t="s">
        <v>55</v>
      </c>
      <c r="B5" s="3" t="s">
        <v>56</v>
      </c>
      <c r="C5" s="3" t="s">
        <v>57</v>
      </c>
      <c r="D5" s="3" t="s">
        <v>58</v>
      </c>
      <c r="E5" s="3" t="s">
        <v>59</v>
      </c>
      <c r="F5" s="3" t="s">
        <v>60</v>
      </c>
      <c r="G5" s="3" t="s">
        <v>61</v>
      </c>
      <c r="H5" s="3" t="s">
        <v>13</v>
      </c>
      <c r="I5" s="3" t="s">
        <v>62</v>
      </c>
      <c r="J5" s="3" t="s">
        <v>63</v>
      </c>
    </row>
    <row r="6" customFormat="false" ht="15" hidden="false" customHeight="false" outlineLevel="0" collapsed="false">
      <c r="A6" s="8" t="s">
        <v>64</v>
      </c>
      <c r="B6" s="17" t="s">
        <v>65</v>
      </c>
      <c r="C6" s="17" t="s">
        <v>66</v>
      </c>
      <c r="D6" s="17" t="s">
        <v>67</v>
      </c>
      <c r="E6" s="17"/>
      <c r="F6" s="17"/>
      <c r="G6" s="17"/>
      <c r="H6" s="17"/>
      <c r="I6" s="17" t="s">
        <v>68</v>
      </c>
      <c r="J6" s="17" t="s">
        <v>69</v>
      </c>
    </row>
    <row r="7" customFormat="false" ht="15" hidden="false" customHeight="false" outlineLevel="0" collapsed="false">
      <c r="A7" s="4" t="s">
        <v>70</v>
      </c>
      <c r="B7" s="18" t="s">
        <v>71</v>
      </c>
      <c r="C7" s="18" t="s">
        <v>72</v>
      </c>
      <c r="D7" s="18" t="s">
        <v>73</v>
      </c>
      <c r="E7" s="18"/>
      <c r="F7" s="18"/>
      <c r="G7" s="18"/>
      <c r="H7" s="18"/>
      <c r="I7" s="18" t="s">
        <v>74</v>
      </c>
      <c r="J7" s="18" t="s">
        <v>75</v>
      </c>
    </row>
    <row r="8" customFormat="false" ht="15" hidden="false" customHeight="false" outlineLevel="0" collapsed="false">
      <c r="A8" s="8" t="s">
        <v>76</v>
      </c>
      <c r="B8" s="17" t="s">
        <v>77</v>
      </c>
      <c r="C8" s="17" t="s">
        <v>78</v>
      </c>
      <c r="D8" s="17" t="s">
        <v>79</v>
      </c>
      <c r="E8" s="17"/>
      <c r="F8" s="17"/>
      <c r="G8" s="17"/>
      <c r="H8" s="17"/>
      <c r="I8" s="17" t="s">
        <v>74</v>
      </c>
      <c r="J8" s="17" t="s">
        <v>80</v>
      </c>
    </row>
    <row r="9" customFormat="false" ht="15" hidden="false" customHeight="false" outlineLevel="0" collapsed="false">
      <c r="A9" s="4" t="s">
        <v>81</v>
      </c>
      <c r="B9" s="18" t="s">
        <v>82</v>
      </c>
      <c r="C9" s="18" t="s">
        <v>83</v>
      </c>
      <c r="D9" s="18" t="s">
        <v>84</v>
      </c>
      <c r="E9" s="18"/>
      <c r="F9" s="18"/>
      <c r="G9" s="18"/>
      <c r="H9" s="18"/>
      <c r="I9" s="18" t="s">
        <v>74</v>
      </c>
      <c r="J9" s="18" t="s">
        <v>85</v>
      </c>
    </row>
    <row r="10" customFormat="false" ht="15" hidden="false" customHeight="false" outlineLevel="0" collapsed="false">
      <c r="A10" s="8" t="s">
        <v>86</v>
      </c>
      <c r="B10" s="17" t="s">
        <v>87</v>
      </c>
      <c r="C10" s="17" t="s">
        <v>88</v>
      </c>
      <c r="D10" s="17" t="s">
        <v>89</v>
      </c>
      <c r="E10" s="17"/>
      <c r="F10" s="17"/>
      <c r="G10" s="17"/>
      <c r="H10" s="17"/>
      <c r="I10" s="17" t="s">
        <v>90</v>
      </c>
      <c r="J10" s="17" t="s">
        <v>91</v>
      </c>
    </row>
    <row r="11" customFormat="false" ht="15" hidden="false" customHeight="false" outlineLevel="0" collapsed="false">
      <c r="A11" s="4" t="s">
        <v>92</v>
      </c>
      <c r="B11" s="18" t="s">
        <v>93</v>
      </c>
      <c r="C11" s="18" t="s">
        <v>94</v>
      </c>
      <c r="D11" s="18" t="s">
        <v>95</v>
      </c>
      <c r="E11" s="18"/>
      <c r="F11" s="18"/>
      <c r="G11" s="18"/>
      <c r="H11" s="18"/>
      <c r="I11" s="18" t="s">
        <v>96</v>
      </c>
      <c r="J11" s="18" t="s">
        <v>97</v>
      </c>
    </row>
    <row r="13" customFormat="false" ht="7.5" hidden="false" customHeight="true" outlineLevel="0" collapsed="false"/>
    <row r="14" customFormat="false" ht="15" hidden="false" customHeight="true" outlineLevel="0" collapsed="false">
      <c r="A14" s="16" t="s">
        <v>98</v>
      </c>
      <c r="B14" s="16"/>
      <c r="C14" s="16"/>
      <c r="D14" s="16"/>
      <c r="E14" s="16"/>
      <c r="F14" s="16"/>
      <c r="G14" s="16"/>
      <c r="H14" s="16"/>
      <c r="I14" s="16"/>
      <c r="J14" s="16"/>
    </row>
    <row r="15" customFormat="false" ht="21.75" hidden="false" customHeight="true" outlineLevel="0" collapsed="false">
      <c r="A15" s="3" t="s">
        <v>55</v>
      </c>
      <c r="B15" s="3" t="s">
        <v>56</v>
      </c>
      <c r="C15" s="3" t="s">
        <v>57</v>
      </c>
      <c r="D15" s="3" t="s">
        <v>58</v>
      </c>
      <c r="E15" s="3" t="s">
        <v>59</v>
      </c>
      <c r="F15" s="3" t="s">
        <v>60</v>
      </c>
      <c r="G15" s="3" t="s">
        <v>61</v>
      </c>
      <c r="H15" s="3" t="s">
        <v>13</v>
      </c>
      <c r="I15" s="3" t="s">
        <v>62</v>
      </c>
      <c r="J15" s="3" t="s">
        <v>63</v>
      </c>
    </row>
    <row r="16" customFormat="false" ht="15" hidden="false" customHeight="false" outlineLevel="0" collapsed="false">
      <c r="A16" s="8" t="s">
        <v>99</v>
      </c>
      <c r="B16" s="17" t="s">
        <v>100</v>
      </c>
      <c r="C16" s="17" t="s">
        <v>101</v>
      </c>
      <c r="D16" s="17" t="s">
        <v>102</v>
      </c>
      <c r="E16" s="17"/>
      <c r="F16" s="17"/>
      <c r="G16" s="17"/>
      <c r="H16" s="17"/>
      <c r="I16" s="17" t="s">
        <v>103</v>
      </c>
      <c r="J16" s="17" t="s">
        <v>104</v>
      </c>
    </row>
    <row r="17" customFormat="false" ht="15" hidden="false" customHeight="false" outlineLevel="0" collapsed="false">
      <c r="A17" s="4" t="s">
        <v>105</v>
      </c>
      <c r="B17" s="18" t="s">
        <v>106</v>
      </c>
      <c r="C17" s="18" t="s">
        <v>107</v>
      </c>
      <c r="D17" s="18" t="s">
        <v>108</v>
      </c>
      <c r="E17" s="18"/>
      <c r="F17" s="18"/>
      <c r="G17" s="18"/>
      <c r="H17" s="18"/>
      <c r="I17" s="18" t="s">
        <v>96</v>
      </c>
      <c r="J17" s="18" t="s">
        <v>109</v>
      </c>
    </row>
    <row r="18" customFormat="false" ht="15" hidden="false" customHeight="false" outlineLevel="0" collapsed="false">
      <c r="A18" s="8" t="s">
        <v>110</v>
      </c>
      <c r="B18" s="17" t="s">
        <v>111</v>
      </c>
      <c r="C18" s="17" t="s">
        <v>112</v>
      </c>
      <c r="D18" s="17" t="s">
        <v>113</v>
      </c>
      <c r="E18" s="17"/>
      <c r="F18" s="17"/>
      <c r="G18" s="17"/>
      <c r="H18" s="17"/>
      <c r="I18" s="17" t="s">
        <v>96</v>
      </c>
      <c r="J18" s="17" t="s">
        <v>114</v>
      </c>
    </row>
    <row r="19" customFormat="false" ht="15" hidden="false" customHeight="false" outlineLevel="0" collapsed="false">
      <c r="A19" s="4" t="s">
        <v>115</v>
      </c>
      <c r="B19" s="18" t="s">
        <v>116</v>
      </c>
      <c r="C19" s="18" t="s">
        <v>117</v>
      </c>
      <c r="D19" s="18" t="s">
        <v>118</v>
      </c>
      <c r="E19" s="18"/>
      <c r="F19" s="18"/>
      <c r="G19" s="18"/>
      <c r="H19" s="18"/>
      <c r="I19" s="18" t="s">
        <v>96</v>
      </c>
      <c r="J19" s="18" t="s">
        <v>119</v>
      </c>
    </row>
    <row r="20" customFormat="false" ht="15" hidden="false" customHeight="false" outlineLevel="0" collapsed="false">
      <c r="A20" s="8" t="s">
        <v>120</v>
      </c>
      <c r="B20" s="17" t="s">
        <v>121</v>
      </c>
      <c r="C20" s="17" t="s">
        <v>122</v>
      </c>
      <c r="D20" s="17" t="s">
        <v>123</v>
      </c>
      <c r="E20" s="17"/>
      <c r="F20" s="17"/>
      <c r="G20" s="17"/>
      <c r="H20" s="17"/>
      <c r="I20" s="17" t="s">
        <v>103</v>
      </c>
      <c r="J20" s="17" t="s">
        <v>124</v>
      </c>
    </row>
    <row r="21" customFormat="false" ht="15" hidden="false" customHeight="false" outlineLevel="0" collapsed="false">
      <c r="A21" s="4" t="s">
        <v>125</v>
      </c>
      <c r="B21" s="18" t="s">
        <v>126</v>
      </c>
      <c r="C21" s="18" t="s">
        <v>127</v>
      </c>
      <c r="D21" s="18" t="s">
        <v>128</v>
      </c>
      <c r="E21" s="18"/>
      <c r="F21" s="18"/>
      <c r="G21" s="18"/>
      <c r="H21" s="18"/>
      <c r="I21" s="18" t="s">
        <v>90</v>
      </c>
      <c r="J21" s="18" t="s">
        <v>129</v>
      </c>
    </row>
    <row r="23" customFormat="false" ht="7.5" hidden="false" customHeight="true" outlineLevel="0" collapsed="false"/>
    <row r="24" customFormat="false" ht="15" hidden="false" customHeight="true" outlineLevel="0" collapsed="false">
      <c r="A24" s="16" t="s">
        <v>130</v>
      </c>
      <c r="B24" s="16"/>
      <c r="C24" s="16"/>
      <c r="D24" s="16"/>
      <c r="E24" s="16"/>
      <c r="F24" s="16"/>
      <c r="G24" s="16"/>
      <c r="H24" s="16"/>
      <c r="I24" s="16"/>
      <c r="J24" s="16"/>
    </row>
    <row r="25" customFormat="false" ht="21.75" hidden="false" customHeight="true" outlineLevel="0" collapsed="false">
      <c r="A25" s="3" t="s">
        <v>55</v>
      </c>
      <c r="B25" s="3" t="s">
        <v>56</v>
      </c>
      <c r="C25" s="3" t="s">
        <v>57</v>
      </c>
      <c r="D25" s="3" t="s">
        <v>58</v>
      </c>
      <c r="E25" s="3" t="s">
        <v>59</v>
      </c>
      <c r="F25" s="3" t="s">
        <v>60</v>
      </c>
      <c r="G25" s="3" t="s">
        <v>61</v>
      </c>
      <c r="H25" s="3" t="s">
        <v>13</v>
      </c>
      <c r="I25" s="3" t="s">
        <v>62</v>
      </c>
      <c r="J25" s="3" t="s">
        <v>63</v>
      </c>
    </row>
    <row r="26" customFormat="false" ht="15" hidden="false" customHeight="false" outlineLevel="0" collapsed="false">
      <c r="A26" s="8" t="s">
        <v>131</v>
      </c>
      <c r="B26" s="17" t="s">
        <v>132</v>
      </c>
      <c r="C26" s="17" t="s">
        <v>133</v>
      </c>
      <c r="D26" s="17" t="s">
        <v>134</v>
      </c>
      <c r="E26" s="17"/>
      <c r="F26" s="17"/>
      <c r="G26" s="17"/>
      <c r="H26" s="17"/>
      <c r="I26" s="17" t="s">
        <v>135</v>
      </c>
      <c r="J26" s="17" t="s">
        <v>136</v>
      </c>
    </row>
    <row r="27" customFormat="false" ht="15" hidden="false" customHeight="false" outlineLevel="0" collapsed="false">
      <c r="A27" s="4" t="s">
        <v>137</v>
      </c>
      <c r="B27" s="18" t="s">
        <v>138</v>
      </c>
      <c r="C27" s="18" t="s">
        <v>139</v>
      </c>
      <c r="D27" s="18" t="s">
        <v>140</v>
      </c>
      <c r="E27" s="18"/>
      <c r="F27" s="18"/>
      <c r="G27" s="18"/>
      <c r="H27" s="18"/>
      <c r="I27" s="18" t="s">
        <v>68</v>
      </c>
      <c r="J27" s="18" t="s">
        <v>141</v>
      </c>
    </row>
    <row r="28" customFormat="false" ht="15" hidden="false" customHeight="false" outlineLevel="0" collapsed="false">
      <c r="A28" s="8" t="s">
        <v>142</v>
      </c>
      <c r="B28" s="17" t="s">
        <v>143</v>
      </c>
      <c r="C28" s="17" t="s">
        <v>144</v>
      </c>
      <c r="D28" s="17" t="s">
        <v>145</v>
      </c>
      <c r="E28" s="17"/>
      <c r="F28" s="17"/>
      <c r="G28" s="17"/>
      <c r="H28" s="17"/>
      <c r="I28" s="17" t="s">
        <v>90</v>
      </c>
      <c r="J28" s="17" t="s">
        <v>146</v>
      </c>
    </row>
    <row r="29" customFormat="false" ht="15" hidden="false" customHeight="false" outlineLevel="0" collapsed="false">
      <c r="A29" s="4" t="s">
        <v>147</v>
      </c>
      <c r="B29" s="18" t="s">
        <v>148</v>
      </c>
      <c r="C29" s="18" t="s">
        <v>149</v>
      </c>
      <c r="D29" s="18" t="s">
        <v>150</v>
      </c>
      <c r="E29" s="18"/>
      <c r="F29" s="18"/>
      <c r="G29" s="18"/>
      <c r="H29" s="18"/>
      <c r="I29" s="18" t="s">
        <v>103</v>
      </c>
      <c r="J29" s="18" t="s">
        <v>151</v>
      </c>
    </row>
    <row r="30" customFormat="false" ht="15" hidden="false" customHeight="false" outlineLevel="0" collapsed="false">
      <c r="A30" s="8" t="s">
        <v>152</v>
      </c>
      <c r="B30" s="17" t="s">
        <v>153</v>
      </c>
      <c r="C30" s="17" t="s">
        <v>154</v>
      </c>
      <c r="D30" s="17" t="s">
        <v>66</v>
      </c>
      <c r="E30" s="17"/>
      <c r="F30" s="17"/>
      <c r="G30" s="17"/>
      <c r="H30" s="17"/>
      <c r="I30" s="17" t="s">
        <v>103</v>
      </c>
      <c r="J30" s="17" t="s">
        <v>155</v>
      </c>
    </row>
    <row r="31" customFormat="false" ht="15" hidden="false" customHeight="false" outlineLevel="0" collapsed="false">
      <c r="A31" s="4" t="s">
        <v>156</v>
      </c>
      <c r="B31" s="18" t="s">
        <v>157</v>
      </c>
      <c r="C31" s="18" t="s">
        <v>158</v>
      </c>
      <c r="D31" s="18" t="s">
        <v>159</v>
      </c>
      <c r="E31" s="18"/>
      <c r="F31" s="18"/>
      <c r="G31" s="18"/>
      <c r="H31" s="18"/>
      <c r="I31" s="18" t="s">
        <v>96</v>
      </c>
      <c r="J31" s="18" t="s">
        <v>160</v>
      </c>
    </row>
  </sheetData>
  <mergeCells count="5">
    <mergeCell ref="A1:J1"/>
    <mergeCell ref="A2:J2"/>
    <mergeCell ref="A4:J4"/>
    <mergeCell ref="A14:J14"/>
    <mergeCell ref="A24:J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8" min="4" style="0" width="14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8"/>
  </cols>
  <sheetData>
    <row r="1" customFormat="false" ht="27.75" hidden="false" customHeight="true" outlineLevel="0" collapsed="false">
      <c r="A1" s="15" t="s">
        <v>161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3" customFormat="false" ht="21.75" hidden="false" customHeight="true" outlineLevel="0" collapsed="false">
      <c r="A3" s="3" t="s">
        <v>162</v>
      </c>
      <c r="B3" s="3" t="s">
        <v>163</v>
      </c>
      <c r="C3" s="3" t="s">
        <v>164</v>
      </c>
      <c r="D3" s="3" t="s">
        <v>165</v>
      </c>
      <c r="E3" s="3" t="s">
        <v>166</v>
      </c>
      <c r="F3" s="3" t="s">
        <v>167</v>
      </c>
      <c r="G3" s="3" t="s">
        <v>168</v>
      </c>
      <c r="H3" s="3" t="s">
        <v>169</v>
      </c>
      <c r="I3" s="3" t="s">
        <v>170</v>
      </c>
      <c r="J3" s="3" t="s">
        <v>171</v>
      </c>
      <c r="K3" s="3" t="s">
        <v>172</v>
      </c>
      <c r="L3" s="3" t="s">
        <v>173</v>
      </c>
    </row>
    <row r="4" customFormat="false" ht="15" hidden="false" customHeight="false" outlineLevel="0" collapsed="false">
      <c r="A4" s="8" t="s">
        <v>174</v>
      </c>
      <c r="B4" s="9" t="s">
        <v>175</v>
      </c>
      <c r="C4" s="10" t="n">
        <v>380000</v>
      </c>
      <c r="D4" s="10" t="n">
        <v>95000</v>
      </c>
      <c r="E4" s="10" t="n">
        <v>97500</v>
      </c>
      <c r="F4" s="10" t="n">
        <f aca="false">D4+E4</f>
        <v>192500</v>
      </c>
      <c r="G4" s="10" t="n">
        <v>190000</v>
      </c>
      <c r="H4" s="10" t="n">
        <f aca="false">F4-G4</f>
        <v>2500</v>
      </c>
      <c r="I4" s="11" t="n">
        <f aca="false">IFERROR(H4/G4,0)</f>
        <v>0.0131578947368421</v>
      </c>
      <c r="J4" s="9" t="s">
        <v>128</v>
      </c>
      <c r="K4" s="9" t="s">
        <v>176</v>
      </c>
      <c r="L4" s="9" t="s">
        <v>177</v>
      </c>
    </row>
    <row r="5" customFormat="false" ht="15" hidden="false" customHeight="false" outlineLevel="0" collapsed="false">
      <c r="A5" s="4" t="s">
        <v>178</v>
      </c>
      <c r="B5" s="5" t="s">
        <v>16</v>
      </c>
      <c r="C5" s="6" t="n">
        <v>200000</v>
      </c>
      <c r="D5" s="6" t="n">
        <v>49000</v>
      </c>
      <c r="E5" s="6" t="n">
        <v>48200</v>
      </c>
      <c r="F5" s="6" t="n">
        <f aca="false">D5+E5</f>
        <v>97200</v>
      </c>
      <c r="G5" s="6" t="n">
        <v>100000</v>
      </c>
      <c r="H5" s="6" t="n">
        <f aca="false">F5-G5</f>
        <v>-2800</v>
      </c>
      <c r="I5" s="7" t="n">
        <f aca="false">IFERROR(H5/G5,0)</f>
        <v>-0.028</v>
      </c>
      <c r="J5" s="5" t="s">
        <v>179</v>
      </c>
      <c r="K5" s="5" t="s">
        <v>180</v>
      </c>
      <c r="L5" s="5" t="s">
        <v>138</v>
      </c>
    </row>
    <row r="6" customFormat="false" ht="15" hidden="false" customHeight="false" outlineLevel="0" collapsed="false">
      <c r="A6" s="8" t="s">
        <v>181</v>
      </c>
      <c r="B6" s="9" t="s">
        <v>182</v>
      </c>
      <c r="C6" s="10" t="n">
        <v>120000</v>
      </c>
      <c r="D6" s="10" t="n">
        <v>29100</v>
      </c>
      <c r="E6" s="10" t="n">
        <v>31500</v>
      </c>
      <c r="F6" s="10" t="n">
        <f aca="false">D6+E6</f>
        <v>60600</v>
      </c>
      <c r="G6" s="10" t="n">
        <v>60000</v>
      </c>
      <c r="H6" s="10" t="n">
        <f aca="false">F6-G6</f>
        <v>600</v>
      </c>
      <c r="I6" s="11" t="n">
        <f aca="false">IFERROR(H6/G6,0)</f>
        <v>0.01</v>
      </c>
      <c r="J6" s="9" t="s">
        <v>183</v>
      </c>
      <c r="K6" s="9" t="s">
        <v>184</v>
      </c>
      <c r="L6" s="9" t="s">
        <v>138</v>
      </c>
    </row>
    <row r="7" customFormat="false" ht="15" hidden="false" customHeight="false" outlineLevel="0" collapsed="false">
      <c r="A7" s="4" t="s">
        <v>185</v>
      </c>
      <c r="B7" s="5" t="s">
        <v>186</v>
      </c>
      <c r="C7" s="6" t="n">
        <v>160000</v>
      </c>
      <c r="D7" s="6" t="n">
        <v>39000</v>
      </c>
      <c r="E7" s="6" t="n">
        <v>41200</v>
      </c>
      <c r="F7" s="6" t="n">
        <f aca="false">D7+E7</f>
        <v>80200</v>
      </c>
      <c r="G7" s="6" t="n">
        <v>80000</v>
      </c>
      <c r="H7" s="6" t="n">
        <f aca="false">F7-G7</f>
        <v>200</v>
      </c>
      <c r="I7" s="7" t="n">
        <f aca="false">IFERROR(H7/G7,0)</f>
        <v>0.0025</v>
      </c>
      <c r="J7" s="5" t="s">
        <v>187</v>
      </c>
      <c r="K7" s="5" t="s">
        <v>188</v>
      </c>
      <c r="L7" s="5" t="s">
        <v>189</v>
      </c>
    </row>
    <row r="8" customFormat="false" ht="15" hidden="false" customHeight="false" outlineLevel="0" collapsed="false">
      <c r="A8" s="8" t="s">
        <v>190</v>
      </c>
      <c r="B8" s="9" t="s">
        <v>191</v>
      </c>
      <c r="C8" s="10" t="n">
        <v>96000</v>
      </c>
      <c r="D8" s="10" t="n">
        <v>24800</v>
      </c>
      <c r="E8" s="10" t="n">
        <v>22900</v>
      </c>
      <c r="F8" s="10" t="n">
        <f aca="false">D8+E8</f>
        <v>47700</v>
      </c>
      <c r="G8" s="10" t="n">
        <v>48000</v>
      </c>
      <c r="H8" s="10" t="n">
        <f aca="false">F8-G8</f>
        <v>-300</v>
      </c>
      <c r="I8" s="11" t="n">
        <f aca="false">IFERROR(H8/G8,0)</f>
        <v>-0.00625</v>
      </c>
      <c r="J8" s="9" t="s">
        <v>192</v>
      </c>
      <c r="K8" s="9" t="s">
        <v>193</v>
      </c>
      <c r="L8" s="9" t="s">
        <v>138</v>
      </c>
    </row>
    <row r="9" customFormat="false" ht="15" hidden="false" customHeight="false" outlineLevel="0" collapsed="false">
      <c r="A9" s="4" t="s">
        <v>194</v>
      </c>
      <c r="B9" s="5" t="s">
        <v>195</v>
      </c>
      <c r="C9" s="6" t="n">
        <v>144000</v>
      </c>
      <c r="D9" s="6" t="n">
        <v>35200</v>
      </c>
      <c r="E9" s="6" t="n">
        <v>36800</v>
      </c>
      <c r="F9" s="6" t="n">
        <f aca="false">D9+E9</f>
        <v>72000</v>
      </c>
      <c r="G9" s="6" t="n">
        <v>72000</v>
      </c>
      <c r="H9" s="6" t="n">
        <f aca="false">F9-G9</f>
        <v>0</v>
      </c>
      <c r="I9" s="7" t="n">
        <f aca="false">IFERROR(H9/G9,0)</f>
        <v>0</v>
      </c>
      <c r="J9" s="5" t="s">
        <v>123</v>
      </c>
      <c r="K9" s="5" t="s">
        <v>180</v>
      </c>
      <c r="L9" s="5" t="s">
        <v>138</v>
      </c>
    </row>
    <row r="10" customFormat="false" ht="15" hidden="false" customHeight="false" outlineLevel="0" collapsed="false">
      <c r="A10" s="8" t="s">
        <v>196</v>
      </c>
      <c r="B10" s="9" t="s">
        <v>197</v>
      </c>
      <c r="C10" s="10" t="n">
        <v>60000</v>
      </c>
      <c r="D10" s="10" t="n">
        <v>15000</v>
      </c>
      <c r="E10" s="10" t="n">
        <v>15000</v>
      </c>
      <c r="F10" s="10" t="n">
        <f aca="false">D10+E10</f>
        <v>30000</v>
      </c>
      <c r="G10" s="10" t="n">
        <v>30000</v>
      </c>
      <c r="H10" s="10" t="n">
        <f aca="false">F10-G10</f>
        <v>0</v>
      </c>
      <c r="I10" s="11" t="n">
        <f aca="false">IFERROR(H10/G10,0)</f>
        <v>0</v>
      </c>
      <c r="J10" s="9" t="s">
        <v>198</v>
      </c>
      <c r="K10" s="9" t="s">
        <v>199</v>
      </c>
      <c r="L10" s="9" t="s">
        <v>200</v>
      </c>
    </row>
    <row r="11" customFormat="false" ht="15" hidden="false" customHeight="false" outlineLevel="0" collapsed="false">
      <c r="A11" s="4" t="s">
        <v>201</v>
      </c>
      <c r="B11" s="5" t="s">
        <v>202</v>
      </c>
      <c r="C11" s="6" t="n">
        <v>40000</v>
      </c>
      <c r="D11" s="6" t="n">
        <v>9800</v>
      </c>
      <c r="E11" s="6" t="n">
        <v>10200</v>
      </c>
      <c r="F11" s="6" t="n">
        <f aca="false">D11+E11</f>
        <v>20000</v>
      </c>
      <c r="G11" s="6" t="n">
        <v>20000</v>
      </c>
      <c r="H11" s="6" t="n">
        <f aca="false">F11-G11</f>
        <v>0</v>
      </c>
      <c r="I11" s="7" t="n">
        <f aca="false">IFERROR(H11/G11,0)</f>
        <v>0</v>
      </c>
      <c r="J11" s="5" t="s">
        <v>203</v>
      </c>
      <c r="K11" s="5" t="s">
        <v>184</v>
      </c>
      <c r="L11" s="5" t="s">
        <v>138</v>
      </c>
    </row>
    <row r="12" customFormat="false" ht="21.75" hidden="false" customHeight="true" outlineLevel="0" collapsed="false">
      <c r="A12" s="12" t="s">
        <v>34</v>
      </c>
      <c r="B12" s="12"/>
      <c r="C12" s="13" t="n">
        <f aca="false">SUM(C4:C11)</f>
        <v>1200000</v>
      </c>
      <c r="D12" s="13" t="n">
        <f aca="false">SUM(D4:D11)</f>
        <v>296900</v>
      </c>
      <c r="E12" s="13" t="n">
        <f aca="false">SUM(E4:E11)</f>
        <v>303300</v>
      </c>
      <c r="F12" s="13" t="n">
        <f aca="false">SUM(F4:F11)</f>
        <v>600200</v>
      </c>
      <c r="G12" s="13" t="n">
        <f aca="false">SUM(G4:G11)</f>
        <v>600000</v>
      </c>
      <c r="H12" s="13" t="n">
        <f aca="false">SUM(H4:H11)</f>
        <v>200</v>
      </c>
      <c r="I12" s="14" t="n">
        <f aca="false">IFERROR(H12/G12,0)</f>
        <v>0.000333333333333333</v>
      </c>
      <c r="J12" s="12"/>
      <c r="K12" s="12"/>
      <c r="L12" s="12"/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5" min="3" style="0" width="14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50"/>
  </cols>
  <sheetData>
    <row r="1" customFormat="false" ht="27.75" hidden="false" customHeight="true" outlineLevel="0" collapsed="false">
      <c r="A1" s="15" t="s">
        <v>204</v>
      </c>
      <c r="B1" s="15"/>
      <c r="C1" s="15"/>
      <c r="D1" s="15"/>
      <c r="E1" s="15"/>
      <c r="F1" s="15"/>
      <c r="G1" s="15"/>
      <c r="H1" s="15"/>
    </row>
    <row r="3" customFormat="false" ht="21.75" hidden="false" customHeight="true" outlineLevel="0" collapsed="false">
      <c r="A3" s="3" t="s">
        <v>205</v>
      </c>
      <c r="B3" s="3" t="s">
        <v>2</v>
      </c>
      <c r="C3" s="3" t="s">
        <v>206</v>
      </c>
      <c r="D3" s="3" t="s">
        <v>207</v>
      </c>
      <c r="E3" s="3" t="s">
        <v>208</v>
      </c>
      <c r="F3" s="3" t="s">
        <v>209</v>
      </c>
      <c r="G3" s="3" t="s">
        <v>210</v>
      </c>
      <c r="H3" s="3" t="s">
        <v>211</v>
      </c>
    </row>
    <row r="4" customFormat="false" ht="30" hidden="false" customHeight="true" outlineLevel="0" collapsed="false">
      <c r="A4" s="8" t="s">
        <v>212</v>
      </c>
      <c r="B4" s="9" t="s">
        <v>16</v>
      </c>
      <c r="C4" s="10" t="n">
        <v>90000</v>
      </c>
      <c r="D4" s="10" t="n">
        <v>94000</v>
      </c>
      <c r="E4" s="10" t="n">
        <f aca="false">D4-C4</f>
        <v>4000</v>
      </c>
      <c r="F4" s="11" t="n">
        <f aca="false">IFERROR(E4/C4,0)</f>
        <v>0.0444444444444444</v>
      </c>
      <c r="G4" s="9" t="str">
        <f aca="false">IF(E4&lt;0,"Unfavorable","Favorable")</f>
        <v>Favorable</v>
      </c>
      <c r="H4" s="8" t="s">
        <v>213</v>
      </c>
    </row>
    <row r="5" customFormat="false" ht="30" hidden="false" customHeight="true" outlineLevel="0" collapsed="false">
      <c r="A5" s="4" t="s">
        <v>212</v>
      </c>
      <c r="B5" s="5" t="s">
        <v>14</v>
      </c>
      <c r="C5" s="6" t="n">
        <v>120000</v>
      </c>
      <c r="D5" s="6" t="n">
        <v>113500</v>
      </c>
      <c r="E5" s="6" t="n">
        <f aca="false">D5-C5</f>
        <v>-6500</v>
      </c>
      <c r="F5" s="7" t="n">
        <f aca="false">IFERROR(E5/C5,0)</f>
        <v>-0.0541666666666667</v>
      </c>
      <c r="G5" s="5" t="str">
        <f aca="false">IF(E5&lt;0,"Unfavorable","Favorable")</f>
        <v>Unfavorable</v>
      </c>
      <c r="H5" s="4" t="s">
        <v>214</v>
      </c>
    </row>
    <row r="6" customFormat="false" ht="30" hidden="false" customHeight="true" outlineLevel="0" collapsed="false">
      <c r="A6" s="8" t="s">
        <v>215</v>
      </c>
      <c r="B6" s="9" t="s">
        <v>16</v>
      </c>
      <c r="C6" s="10" t="n">
        <v>90000</v>
      </c>
      <c r="D6" s="10" t="n">
        <v>92000</v>
      </c>
      <c r="E6" s="10" t="n">
        <f aca="false">D6-C6</f>
        <v>2000</v>
      </c>
      <c r="F6" s="11" t="n">
        <f aca="false">IFERROR(E6/C6,0)</f>
        <v>0.0222222222222222</v>
      </c>
      <c r="G6" s="9" t="str">
        <f aca="false">IF(E6&lt;0,"Unfavorable","Favorable")</f>
        <v>Favorable</v>
      </c>
      <c r="H6" s="8" t="s">
        <v>216</v>
      </c>
    </row>
    <row r="7" customFormat="false" ht="30" hidden="false" customHeight="true" outlineLevel="0" collapsed="false">
      <c r="A7" s="4" t="s">
        <v>215</v>
      </c>
      <c r="B7" s="5" t="s">
        <v>22</v>
      </c>
      <c r="C7" s="6" t="n">
        <v>30000</v>
      </c>
      <c r="D7" s="6" t="n">
        <v>31200</v>
      </c>
      <c r="E7" s="6" t="n">
        <f aca="false">D7-C7</f>
        <v>1200</v>
      </c>
      <c r="F7" s="7" t="n">
        <f aca="false">IFERROR(E7/C7,0)</f>
        <v>0.04</v>
      </c>
      <c r="G7" s="5" t="str">
        <f aca="false">IF(E7&lt;0,"Unfavorable","Favorable")</f>
        <v>Favorable</v>
      </c>
      <c r="H7" s="4" t="s">
        <v>217</v>
      </c>
    </row>
    <row r="8" customFormat="false" ht="30" hidden="false" customHeight="true" outlineLevel="0" collapsed="false">
      <c r="A8" s="8" t="s">
        <v>218</v>
      </c>
      <c r="B8" s="9" t="s">
        <v>24</v>
      </c>
      <c r="C8" s="10" t="n">
        <v>36000</v>
      </c>
      <c r="D8" s="10" t="n">
        <v>35200</v>
      </c>
      <c r="E8" s="10" t="n">
        <f aca="false">D8-C8</f>
        <v>-800</v>
      </c>
      <c r="F8" s="11" t="n">
        <f aca="false">IFERROR(E8/C8,0)</f>
        <v>-0.0222222222222222</v>
      </c>
      <c r="G8" s="9" t="str">
        <f aca="false">IF(E8&lt;0,"Unfavorable","Favorable")</f>
        <v>Unfavorable</v>
      </c>
      <c r="H8" s="8" t="s">
        <v>219</v>
      </c>
    </row>
    <row r="9" customFormat="false" ht="30" hidden="false" customHeight="true" outlineLevel="0" collapsed="false">
      <c r="A9" s="4" t="s">
        <v>220</v>
      </c>
      <c r="B9" s="5" t="s">
        <v>14</v>
      </c>
      <c r="C9" s="6" t="n">
        <v>120000</v>
      </c>
      <c r="D9" s="6" t="n">
        <v>127800</v>
      </c>
      <c r="E9" s="6" t="n">
        <f aca="false">D9-C9</f>
        <v>7800</v>
      </c>
      <c r="F9" s="7" t="n">
        <f aca="false">IFERROR(E9/C9,0)</f>
        <v>0.065</v>
      </c>
      <c r="G9" s="5" t="str">
        <f aca="false">IF(E9&lt;0,"Unfavorable","Favorable")</f>
        <v>Favorable</v>
      </c>
      <c r="H9" s="4" t="s">
        <v>221</v>
      </c>
    </row>
    <row r="10" customFormat="false" ht="30" hidden="false" customHeight="true" outlineLevel="0" collapsed="false">
      <c r="A10" s="8" t="s">
        <v>222</v>
      </c>
      <c r="B10" s="9" t="s">
        <v>28</v>
      </c>
      <c r="C10" s="10" t="n">
        <v>10000</v>
      </c>
      <c r="D10" s="10" t="n">
        <v>10800</v>
      </c>
      <c r="E10" s="10" t="n">
        <f aca="false">D10-C10</f>
        <v>800</v>
      </c>
      <c r="F10" s="11" t="n">
        <f aca="false">IFERROR(E10/C10,0)</f>
        <v>0.08</v>
      </c>
      <c r="G10" s="9" t="str">
        <f aca="false">IF(E10&lt;0,"Unfavorable","Favorable")</f>
        <v>Favorable</v>
      </c>
      <c r="H10" s="8" t="s">
        <v>223</v>
      </c>
    </row>
    <row r="11" customFormat="false" ht="30" hidden="false" customHeight="true" outlineLevel="0" collapsed="false">
      <c r="A11" s="4" t="s">
        <v>224</v>
      </c>
      <c r="B11" s="5" t="s">
        <v>26</v>
      </c>
      <c r="C11" s="6" t="n">
        <v>15000</v>
      </c>
      <c r="D11" s="6" t="n">
        <v>15000</v>
      </c>
      <c r="E11" s="6" t="n">
        <f aca="false">D11-C11</f>
        <v>0</v>
      </c>
      <c r="F11" s="7" t="n">
        <f aca="false">IFERROR(E11/C11,0)</f>
        <v>0</v>
      </c>
      <c r="G11" s="5" t="str">
        <f aca="false">IF(E11&lt;0,"Unfavorable","Favorable")</f>
        <v>Favorable</v>
      </c>
      <c r="H11" s="4" t="s">
        <v>225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</cols>
  <sheetData>
    <row r="1" customFormat="false" ht="27.75" hidden="false" customHeight="true" outlineLevel="0" collapsed="false">
      <c r="A1" s="15" t="s">
        <v>226</v>
      </c>
      <c r="B1" s="15"/>
      <c r="C1" s="15"/>
      <c r="D1" s="15"/>
    </row>
    <row r="2" customFormat="false" ht="15" hidden="false" customHeight="false" outlineLevel="0" collapsed="false">
      <c r="A2" s="19"/>
      <c r="B2" s="20"/>
    </row>
    <row r="3" customFormat="false" ht="15" hidden="false" customHeight="false" outlineLevel="0" collapsed="false">
      <c r="A3" s="21" t="s">
        <v>227</v>
      </c>
      <c r="B3" s="21" t="s">
        <v>228</v>
      </c>
    </row>
    <row r="4" customFormat="false" ht="15" hidden="false" customHeight="false" outlineLevel="0" collapsed="false">
      <c r="A4" s="19" t="s">
        <v>229</v>
      </c>
      <c r="B4" s="20" t="s">
        <v>230</v>
      </c>
    </row>
    <row r="5" customFormat="false" ht="15" hidden="false" customHeight="false" outlineLevel="0" collapsed="false">
      <c r="A5" s="19" t="s">
        <v>231</v>
      </c>
      <c r="B5" s="20" t="s">
        <v>232</v>
      </c>
    </row>
    <row r="6" customFormat="false" ht="15" hidden="false" customHeight="false" outlineLevel="0" collapsed="false">
      <c r="A6" s="19" t="s">
        <v>233</v>
      </c>
      <c r="B6" s="20" t="s">
        <v>234</v>
      </c>
    </row>
    <row r="7" customFormat="false" ht="15" hidden="false" customHeight="false" outlineLevel="0" collapsed="false">
      <c r="A7" s="19" t="s">
        <v>235</v>
      </c>
      <c r="B7" s="20" t="s">
        <v>236</v>
      </c>
    </row>
    <row r="8" customFormat="false" ht="15" hidden="false" customHeight="false" outlineLevel="0" collapsed="false">
      <c r="A8" s="19" t="s">
        <v>237</v>
      </c>
      <c r="B8" s="20" t="s">
        <v>238</v>
      </c>
    </row>
    <row r="9" customFormat="false" ht="15" hidden="false" customHeight="false" outlineLevel="0" collapsed="false">
      <c r="A9" s="19"/>
      <c r="B9" s="20"/>
    </row>
    <row r="10" customFormat="false" ht="15" hidden="false" customHeight="false" outlineLevel="0" collapsed="false">
      <c r="A10" s="21" t="s">
        <v>239</v>
      </c>
      <c r="B10" s="21"/>
    </row>
    <row r="11" customFormat="false" ht="15" hidden="false" customHeight="false" outlineLevel="0" collapsed="false">
      <c r="A11" s="19" t="s">
        <v>240</v>
      </c>
      <c r="B11" s="20" t="s">
        <v>241</v>
      </c>
    </row>
    <row r="12" customFormat="false" ht="15" hidden="false" customHeight="false" outlineLevel="0" collapsed="false">
      <c r="A12" s="19" t="s">
        <v>242</v>
      </c>
      <c r="B12" s="20" t="s">
        <v>243</v>
      </c>
    </row>
    <row r="13" customFormat="false" ht="15" hidden="false" customHeight="false" outlineLevel="0" collapsed="false">
      <c r="A13" s="19" t="s">
        <v>244</v>
      </c>
      <c r="B13" s="20" t="s">
        <v>245</v>
      </c>
    </row>
    <row r="14" customFormat="false" ht="15" hidden="false" customHeight="false" outlineLevel="0" collapsed="false">
      <c r="A14" s="19" t="s">
        <v>246</v>
      </c>
      <c r="B14" s="20" t="s">
        <v>247</v>
      </c>
    </row>
    <row r="15" customFormat="false" ht="15" hidden="false" customHeight="false" outlineLevel="0" collapsed="false">
      <c r="A15" s="19" t="s">
        <v>248</v>
      </c>
      <c r="B15" s="20" t="s">
        <v>249</v>
      </c>
    </row>
    <row r="16" customFormat="false" ht="15" hidden="false" customHeight="false" outlineLevel="0" collapsed="false">
      <c r="A16" s="19"/>
      <c r="B16" s="20"/>
    </row>
    <row r="17" customFormat="false" ht="15" hidden="false" customHeight="false" outlineLevel="0" collapsed="false">
      <c r="A17" s="21" t="s">
        <v>250</v>
      </c>
      <c r="B17" s="21"/>
    </row>
    <row r="18" customFormat="false" ht="15" hidden="false" customHeight="false" outlineLevel="0" collapsed="false">
      <c r="A18" s="19" t="s">
        <v>251</v>
      </c>
      <c r="B18" s="20" t="s">
        <v>252</v>
      </c>
    </row>
    <row r="19" customFormat="false" ht="15" hidden="false" customHeight="false" outlineLevel="0" collapsed="false">
      <c r="A19" s="19" t="s">
        <v>253</v>
      </c>
      <c r="B19" s="20" t="s">
        <v>254</v>
      </c>
    </row>
    <row r="20" customFormat="false" ht="15" hidden="false" customHeight="false" outlineLevel="0" collapsed="false">
      <c r="A20" s="19" t="s">
        <v>255</v>
      </c>
      <c r="B20" s="20" t="s">
        <v>256</v>
      </c>
    </row>
    <row r="21" customFormat="false" ht="15" hidden="false" customHeight="false" outlineLevel="0" collapsed="false">
      <c r="A21" s="19"/>
      <c r="B21" s="20"/>
    </row>
    <row r="22" customFormat="false" ht="15" hidden="false" customHeight="false" outlineLevel="0" collapsed="false">
      <c r="A22" s="19" t="s">
        <v>257</v>
      </c>
      <c r="B22" s="20" t="s">
        <v>258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2026-06-16T00:26:28Z</dcterms:created>
  <dc:creator>openpyxl</dc:creator>
  <dc:description/>
  <dc:language>en-US</dc:language>
  <cp:lastModifiedBy/>
  <dcterms:modified xsi:type="dcterms:W3CDTF">2026-06-16T00:26:29Z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